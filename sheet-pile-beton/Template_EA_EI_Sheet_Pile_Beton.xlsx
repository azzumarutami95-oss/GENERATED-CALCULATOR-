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lkulasi" sheetId="1" r:id="rId1"/>
    <sheet name="Data_Produk" sheetId="2" r:id="rId2"/>
    <sheet name="Rekap" sheetId="3" r:id="rId3"/>
    <sheet name="Petunjuk" sheetId="4" r:id="rId4"/>
  </sheets>
  <definedNames>
    <definedName name="_xlnm._FilterDatabase" localSheetId="1" hidden="1">Data_Produk!$B$6:$H$12</definedName>
    <definedName name="_xlnm._FilterDatabase" localSheetId="2" hidden="1">Rekap!$B$6:$I$12</definedName>
    <definedName name="_xlnm.Print_Area" localSheetId="1">Data_Produk!$B$1:$H$24</definedName>
    <definedName name="_xlnm.Print_Area" localSheetId="0">Kalkulasi!$B$1:$H$37</definedName>
    <definedName name="_xlnm.Print_Area" localSheetId="3">Petunjuk!$B$1:$H$31</definedName>
    <definedName name="_xlnm.Print_Area" localSheetId="2">Rekap!$B$1:$I$34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9" authorId="0">
      <text>
        <r>
          <rPr>
            <sz val="8"/>
            <color indexed="81"/>
            <rFont val="Tahoma"/>
            <family val="2"/>
          </rPr>
          <t>Kosong: gunakan estimasi Ec = 4700 × SQRT(fc). Isi nilai E dalam MPa untuk memakai data uji atau rekomendasi produsen. Isian ini menggantikan Ec estimasi.</t>
        </r>
      </text>
    </comment>
    <comment ref="C10" authorId="0">
      <text>
        <r>
          <rPr>
            <sz val="8"/>
            <color indexed="81"/>
            <rFont val="Tahoma"/>
            <family val="2"/>
          </rPr>
          <t>Nilai awal 1,00 berarti EA bruto. Faktor harus ditentukan berdasarkan asumsi analisis proyek; template tidak menetapkan faktor desain.</t>
        </r>
      </text>
    </comment>
    <comment ref="C11" authorId="0">
      <text>
        <r>
          <rPr>
            <sz val="8"/>
            <color indexed="81"/>
            <rFont val="Tahoma"/>
            <family val="2"/>
          </rPr>
          <t>Nilai awal 1,00 berarti EI bruto/tidak retak. Pengaruh retak, rangkak, atau kondisi jangka panjang tidak dihitung otomatis. Gunakan faktor sesuai model yang disetujui.</t>
        </r>
      </text>
    </comment>
    <comment ref="C14" authorId="0">
      <text>
        <r>
          <rPr>
            <sz val="8"/>
            <color indexed="81"/>
            <rFont val="Tahoma"/>
            <family val="2"/>
          </rPr>
          <t>Hanya dipakai jika C7 = Manual. Lebar efektif adalah lebar cakupan terpasang per batang, bukan panjang bentangan profil mengikuti lipatan.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7" authorId="0">
      <text>
        <r>
          <rPr>
            <sz val="8"/>
            <color indexed="81"/>
            <rFont val="Tahoma"/>
            <family val="2"/>
          </rPr>
          <t>Transkripsi angka pada gambar: 1.315 cm². Tanda titik pada tabel sumber dibaca sebagai pemisah ribuan.</t>
        </r>
      </text>
    </comment>
    <comment ref="G7" authorId="0">
      <text>
        <r>
          <rPr>
            <sz val="8"/>
            <color indexed="81"/>
            <rFont val="Tahoma"/>
            <family val="2"/>
          </rPr>
          <t>Transkripsi angka pada gambar: 134.264 cm⁴. Nilai mengikuti sumbu lentur yang dinyatakan produsen.</t>
        </r>
      </text>
    </comment>
    <comment ref="F8" authorId="0">
      <text>
        <r>
          <rPr>
            <sz val="8"/>
            <color indexed="81"/>
            <rFont val="Tahoma"/>
            <family val="2"/>
          </rPr>
          <t>Transkripsi angka pada gambar: 1.468 cm². Tanda titik pada tabel sumber dibaca sebagai pemisah ribuan.</t>
        </r>
      </text>
    </comment>
    <comment ref="G8" authorId="0">
      <text>
        <r>
          <rPr>
            <sz val="8"/>
            <color indexed="81"/>
            <rFont val="Tahoma"/>
            <family val="2"/>
          </rPr>
          <t>Transkripsi angka pada gambar: 169.432 cm⁴. Nilai mengikuti sumbu lentur yang dinyatakan produsen.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Transkripsi angka pada gambar: 1.598 cm². Tanda titik pada tabel sumber dibaca sebagai pemisah ribuan.</t>
        </r>
      </text>
    </comment>
    <comment ref="G9" authorId="0">
      <text>
        <r>
          <rPr>
            <sz val="8"/>
            <color indexed="81"/>
            <rFont val="Tahoma"/>
            <family val="2"/>
          </rPr>
          <t>Transkripsi angka pada gambar: 248.691 cm⁴. Nilai mengikuti sumbu lentur yang dinyatakan produsen.</t>
        </r>
      </text>
    </comment>
    <comment ref="F10" authorId="0">
      <text>
        <r>
          <rPr>
            <sz val="8"/>
            <color indexed="81"/>
            <rFont val="Tahoma"/>
            <family val="2"/>
          </rPr>
          <t>Transkripsi angka pada gambar: 1.825 cm². Tanda titik pada tabel sumber dibaca sebagai pemisah ribuan.</t>
        </r>
      </text>
    </comment>
    <comment ref="G10" authorId="0">
      <text>
        <r>
          <rPr>
            <sz val="8"/>
            <color indexed="81"/>
            <rFont val="Tahoma"/>
            <family val="2"/>
          </rPr>
          <t>Transkripsi angka pada gambar: 353.363 cm⁴. Nilai mengikuti sumbu lentur yang dinyatakan produsen.</t>
        </r>
      </text>
    </comment>
    <comment ref="F11" authorId="0">
      <text>
        <r>
          <rPr>
            <sz val="8"/>
            <color indexed="81"/>
            <rFont val="Tahoma"/>
            <family val="2"/>
          </rPr>
          <t>Transkripsi angka pada gambar: 1.818 cm². Tanda titik pada tabel sumber dibaca sebagai pemisah ribuan.</t>
        </r>
      </text>
    </comment>
    <comment ref="G11" authorId="0">
      <text>
        <r>
          <rPr>
            <sz val="8"/>
            <color indexed="81"/>
            <rFont val="Tahoma"/>
            <family val="2"/>
          </rPr>
          <t>Transkripsi angka pada gambar: 462.373 cm⁴. Nilai mengikuti sumbu lentur yang dinyatakan produsen.</t>
        </r>
      </text>
    </comment>
    <comment ref="F12" authorId="0">
      <text>
        <r>
          <rPr>
            <sz val="8"/>
            <color indexed="81"/>
            <rFont val="Tahoma"/>
            <family val="2"/>
          </rPr>
          <t>Transkripsi angka pada gambar: 2.078 cm². Tanda titik pada tabel sumber dibaca sebagai pemisah ribuan.</t>
        </r>
      </text>
    </comment>
    <comment ref="G12" authorId="0">
      <text>
        <r>
          <rPr>
            <sz val="8"/>
            <color indexed="81"/>
            <rFont val="Tahoma"/>
            <family val="2"/>
          </rPr>
          <t>Transkripsi angka pada gambar: 765.907 cm⁴. Nilai mengikuti sumbu lentur yang dinyatakan produsen.</t>
        </r>
      </text>
    </comment>
  </commentList>
</comments>
</file>

<file path=xl/sharedStrings.xml><?xml version="1.0" encoding="utf-8"?>
<sst xmlns="http://schemas.openxmlformats.org/spreadsheetml/2006/main" count="110" uniqueCount="100">
  <si>
    <t>EA &amp; EI | SHEET PILE BETON</t>
  </si>
  <si>
    <t>Corrugated prestressed concrete • Input biru dapat diubah • Keluaran dalam sistem kN–m</t>
  </si>
  <si>
    <t>01  INPUT PERHITUNGAN</t>
  </si>
  <si>
    <t>02  PENAMPANG MANUAL</t>
  </si>
  <si>
    <t>03  PARAMETER TERPAKAI</t>
  </si>
  <si>
    <t>04  HASIL PER METER DINDING</t>
  </si>
  <si>
    <t>HASIL PER BATANG • SETELAH FAKTOR</t>
  </si>
  <si>
    <t>HASIL BRUTO PER BATANG</t>
  </si>
  <si>
    <t>Proyek / catatan</t>
  </si>
  <si>
    <t>Tipe sheet pile</t>
  </si>
  <si>
    <t>W-400</t>
  </si>
  <si>
    <t>Kuat tekan beton, f'c</t>
  </si>
  <si>
    <t>MPa</t>
  </si>
  <si>
    <t>E manual (opsional)</t>
  </si>
  <si>
    <t>Faktor kekakuan aksial, αA</t>
  </si>
  <si>
    <t>0 &lt; αA ≤ 1</t>
  </si>
  <si>
    <t>Faktor kekakuan lentur, αI</t>
  </si>
  <si>
    <t>0 &lt; αI ≤ 1</t>
  </si>
  <si>
    <t>Lebar efektif manual, b</t>
  </si>
  <si>
    <t>mm</t>
  </si>
  <si>
    <t>Luas manual, A</t>
  </si>
  <si>
    <t>cm²</t>
  </si>
  <si>
    <t>Inersia manual, I</t>
  </si>
  <si>
    <t>cm⁴</t>
  </si>
  <si>
    <t>Ec estimasi = 4700√f'c</t>
  </si>
  <si>
    <t>E yang digunakan</t>
  </si>
  <si>
    <t>Lebar efektif, b</t>
  </si>
  <si>
    <t>Luas penampang, A</t>
  </si>
  <si>
    <t>Momen inersia, I</t>
  </si>
  <si>
    <t>A dalam satuan m²</t>
  </si>
  <si>
    <t>m²</t>
  </si>
  <si>
    <t>I dalam satuan m⁴</t>
  </si>
  <si>
    <t>m⁴</t>
  </si>
  <si>
    <t>b dalam satuan m</t>
  </si>
  <si>
    <t>m</t>
  </si>
  <si>
    <t>Status input</t>
  </si>
  <si>
    <t>EA per meter lebar dinding</t>
  </si>
  <si>
    <t>kN/m  •  αA × E × A / b</t>
  </si>
  <si>
    <t>EI per meter lebar dinding</t>
  </si>
  <si>
    <t>kN·m²/m  •  αI × E × I / b</t>
  </si>
  <si>
    <t>EA = αA × E × A</t>
  </si>
  <si>
    <t>kN</t>
  </si>
  <si>
    <t>EI = αI × E × I</t>
  </si>
  <si>
    <t>kN·m²</t>
  </si>
  <si>
    <t>EA bruto = E × A</t>
  </si>
  <si>
    <t>EI bruto = E × I</t>
  </si>
  <si>
    <t>ASUMSI PERHITUNGAN</t>
  </si>
  <si>
    <t>Penampang beton bruto; I mengikuti sumbu pada katalog. Nilai awal αA = αI = 1,00. Perhitungan ini menghasilkan kekakuan elastis.</t>
  </si>
  <si>
    <t>SATUAN  •  E [kN/m²] = E [MPa] × 1.000  |  A [m²] = A [cm²] × 10⁻⁴  |  I [m⁴] = I [cm⁴] × 10⁻⁸</t>
  </si>
  <si>
    <t>E awal adalah estimasi untuk beton berat normal (Ec = 4700√f'c dalam MPa; bentuk persamaan SNI 2847:2019 §19.2.2.1.b). Gunakan E dari uji/produsen atau standar proyek bila tersedia. Efek tulangan/prategang, retak dan rangkak tidak dihitung otomatis.</t>
  </si>
  <si>
    <t>Lebar 996 mm diasumsikan sebagai lebar efektif terpasang. Verifikasi terhadap katalog produsen. Untuk lebar atau penampang lain, pilih Manual. Data manual C14:C16 hanya aktif saat tipe Manual dipilih.</t>
  </si>
  <si>
    <t>Baca petunjuk dan dasar perhitungan →</t>
  </si>
  <si>
    <t>DATA PENAMPANG | KATALOG</t>
  </si>
  <si>
    <t>Sumber: gambar “Corrugated Prestressed Concrete Sheet Piles” yang dilampirkan pengguna.</t>
  </si>
  <si>
    <t>Tipe</t>
  </si>
  <si>
    <t>Tinggi total
(mm)</t>
  </si>
  <si>
    <t>Tebal
(mm)</t>
  </si>
  <si>
    <t>Lebar efektif*
(mm)</t>
  </si>
  <si>
    <t>Luas A
(cm²/batang)</t>
  </si>
  <si>
    <t>Inersia I
(cm⁴/batang)</t>
  </si>
  <si>
    <t>Berat satuan
(kg/m)</t>
  </si>
  <si>
    <t>W-325</t>
  </si>
  <si>
    <t>W-350</t>
  </si>
  <si>
    <t>W-450</t>
  </si>
  <si>
    <t>W-500</t>
  </si>
  <si>
    <t>W-600</t>
  </si>
  <si>
    <t>Mutu beton pada gambar: f'c = 62,5 MPa. Sel biru adalah data sumber yang dapat diperbarui sesuai katalog proyek. Nama tipe dipakai sebagai kunci pencarian; pertahankan nama tipe agar pilihan pada Kalkulasi tetap cocok.</t>
  </si>
  <si>
    <t>* Lebar pada gambar = 996 mm; template menganggapnya sebagai lebar efektif terpasang. Pastikan definisi lebar, luas per batang, dan sumbu I pada katalog asli sebelum dipakai dalam model.</t>
  </si>
  <si>
    <t>Angka “1.315” dibaca 1.315 cm² (seribu tiga ratus lima belas); “134.264” dibaca 134.264 cm⁴. Luas W-500 = 1.818 cm², sedikit lebih kecil dari W-450 = 1.825 cm²; nilai dipertahankan sesuai gambar.</t>
  </si>
  <si>
    <t>Kelas A/B dan momen retak/ultimit tidak digunakan untuk EA dan EI bruto. Evaluasi kapasitas, tingkat retak, pengaruh prategang dan kekakuan efektif memerlukan data serta analisis tersendiri.</t>
  </si>
  <si>
    <t>REKAP | SELURUH TIPE</t>
  </si>
  <si>
    <t>Memakai E serta faktor αA dan αI dari sheet Kalkulasi; perubahan tipe terpilih tidak mengubah daftar rekap.</t>
  </si>
  <si>
    <t>E (MPa)</t>
  </si>
  <si>
    <t>αA</t>
  </si>
  <si>
    <t>αI</t>
  </si>
  <si>
    <t>A
(cm²)</t>
  </si>
  <si>
    <t>I
(cm⁴)</t>
  </si>
  <si>
    <t>b
(m)</t>
  </si>
  <si>
    <t>EA batang
(kN)</t>
  </si>
  <si>
    <t>EI batang
(kN·m²)</t>
  </si>
  <si>
    <t>EA per m
(kN/m)</t>
  </si>
  <si>
    <t>EI per m
(kN·m²/m)</t>
  </si>
  <si>
    <t>EA dan EI pada rekap sudah dikalikan faktor αA dan αI. Nilai awal keduanya 1,00 sehingga hasil sama dengan kekakuan bruto. Jika input material/faktor tidak valid, hasil rekap dikosongkan.</t>
  </si>
  <si>
    <t>Untuk model elemen plate 2D per satuan lebar: gunakan kolom EA per m dan EI per m dengan sistem satuan kN–m. Untuk elemen batang individual: gunakan kolom EA batang dan EI batang. Cocokkan definisi serta satuan pada perangkat lunak yang dipakai.</t>
  </si>
  <si>
    <t>PETUNJUK | RUMUS &amp; ASUMSI</t>
  </si>
  <si>
    <t>CARA PAKAI</t>
  </si>
  <si>
    <t>RUMUS DAN SATUAN</t>
  </si>
  <si>
    <t>BATASAN MODEL &amp; SUMBER</t>
  </si>
  <si>
    <t>1  Buka Kalkulasi, pilih tipe W-325 s.d. W-600. Pilih Manual untuk memasukkan b, A dan I sendiri. Sel biru dapat diedit; sel abu-abu dan hijau berisi hasil rumus.</t>
  </si>
  <si>
    <t>2  Masukkan f'c dalam MPa. Kosongkan E manual untuk memakai Ec = 4700√f'c. Isi E manual bila tersedia nilai uji atau rekomendasi produsen; isian ini menggantikan nilai estimasi.</t>
  </si>
  <si>
    <t>3  Tetapkan faktor αA dan αI (awal 1,00), lalu baca hasil per batang atau per meter dinding. Gunakan Rekap untuk membandingkan seluruh tipe dengan E dan faktor yang sama.</t>
  </si>
  <si>
    <t>Ec [MPa] = 4700 × √f'c [MPa], untuk beton berat normal. Persamaan estimasi: SNI 2847:2019 §19.2.2.1.b. Estimasi ini perlu disesuaikan dengan material serta ketentuan proyek.</t>
  </si>
  <si>
    <t>Konversi: 1 MPa = 1.000 kN/m²; 1 cm² = 10⁻⁴ m²; 1 cm⁴ = 10⁻⁸ m⁴; 1 mm = 0,001 m. Luas dan inersia katalog dianggap untuk satu batang.</t>
  </si>
  <si>
    <t>Per batang: EA bruto = E × A [kN]; EI bruto = E × I [kN·m²]. Setelah faktor: EA = αA × EA bruto; EI = αI × EI bruto. EA dan EI bukan EA/L atau 12EI/L³; panjang batang tidak diperlukan untuk EA dan EI.</t>
  </si>
  <si>
    <t>Per meter lebar dinding: EA/m = αA × E × A / b [kN/m]; EI/m = αI × E × I / b [kN·m²/m]. b adalah lebar efektif terpasang satu batang dalam meter. Pembagian lebar dilakukan satu kali.</t>
  </si>
  <si>
    <t>Data penampang berasal dari gambar pengguna (judul “Corrugated Prestressed Concrete Sheet Piles”). Tanggal, revisi dan produsen katalog tidak tercantum jelas pada gambar. Verifikasi angka terhadap katalog proyek; titik pada data sumber dibaca sebagai pemisah ribuan.</t>
  </si>
  <si>
    <t>I mengikuti sumbu lentur katalog. Lebar 996 mm diasumsikan sebagai lebar efektif. Model memakai luas dan inersia beton bruto; kontribusi baja tulangan/prategang sebagai penampang transformasi belum ditambahkan.</t>
  </si>
  <si>
    <t>Nilai awal αA = αI = 1,00 menyatakan penampang bruto/tidak retak. Retak, rangkak, susut dan perubahan kekakuan akibat prategang tidak dihitung otomatis. Faktor yang berbeda harus ditentukan oleh perencana berdasarkan kondisi analisis.</t>
  </si>
  <si>
    <t>EA dan EI adalah kekakuan elastis, bukan kapasitas aksial atau kapasitas momen. Tabel momen retak/ultimit dan kelas A/B pada katalog tidak dipakai dalam rumus ini. Template tidak memeriksa stabilitas, kekuatan, atau deformasi dinding.</t>
  </si>
  <si>
    <t>← Kembali ke Kalkulasi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</si>
</sst>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.000"/>
    <numFmt numFmtId="166" formatCode="0.00000000"/>
  </numFmts>
  <fonts count="11">
    <font>
      <sz val="11"/>
      <color theme="1"/>
      <name val="Calibri"/>
      <family val="2"/>
      <scheme val="minor"/>
    </font>
    <font>
      <b/>
      <sz val="23"/>
      <color rgb="FFFFFFFF"/>
      <name val="Calibri"/>
      <family val="2"/>
      <scheme val="minor"/>
    </font>
    <font>
      <sz val="10"/>
      <color rgb="FF64768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8364A"/>
      <name val="Calibri"/>
      <family val="2"/>
      <scheme val="minor"/>
    </font>
    <font>
      <sz val="11"/>
      <color rgb="FF1565C0"/>
      <name val="Calibri"/>
      <family val="2"/>
      <scheme val="minor"/>
    </font>
    <font>
      <b/>
      <sz val="11"/>
      <color rgb="FF18364A"/>
      <name val="Calibri"/>
      <family val="2"/>
      <scheme val="minor"/>
    </font>
    <font>
      <b/>
      <sz val="29"/>
      <color rgb="FF18364A"/>
      <name val="Calibri"/>
      <family val="2"/>
      <scheme val="minor"/>
    </font>
    <font>
      <sz val="10"/>
      <color rgb="FF18364A"/>
      <name val="Calibri"/>
      <family val="2"/>
      <scheme val="minor"/>
    </font>
    <font>
      <u/>
      <sz val="10"/>
      <color rgb="FF008FAD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123247"/>
        <bgColor indexed="64"/>
      </patternFill>
    </fill>
    <fill>
      <patternFill patternType="solid">
        <fgColor rgb="FF008FAD"/>
        <bgColor indexed="64"/>
      </patternFill>
    </fill>
    <fill>
      <patternFill patternType="solid">
        <fgColor rgb="FFEAF5FC"/>
        <bgColor indexed="64"/>
      </patternFill>
    </fill>
    <fill>
      <patternFill patternType="solid">
        <fgColor rgb="FFE6F5EF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FF3D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3D4EC"/>
      </bottom>
      <diagonal/>
    </border>
    <border>
      <left/>
      <right/>
      <top/>
      <bottom style="thin">
        <color rgb="FFDCE4E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5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164" fontId="5" fillId="4" borderId="1" xfId="0" applyNumberFormat="1" applyFont="1" applyFill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164" fontId="6" fillId="5" borderId="0" xfId="0" applyNumberFormat="1" applyFont="1" applyFill="1" applyAlignment="1">
      <alignment vertical="center"/>
    </xf>
    <xf numFmtId="165" fontId="4" fillId="6" borderId="0" xfId="0" applyNumberFormat="1" applyFont="1" applyFill="1" applyAlignment="1">
      <alignment vertical="center"/>
    </xf>
    <xf numFmtId="166" fontId="4" fillId="6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9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</cellXfs>
  <cellStyles count="1">
    <cellStyle name="Normal" xfId="0" builtinId="0"/>
  </cellStyles>
  <dxfs count="1">
    <dxf>
      <font>
        <b/>
        <color rgb="FFA32020"/>
      </font>
      <fill>
        <patternFill>
          <bgColor rgb="FFFCE4E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Perbandingan kekakuan lentur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EI per meter dinding</c:v>
          </c:tx>
          <c:spPr>
            <a:solidFill>
              <a:srgbClr val="008FAD"/>
            </a:solidFill>
            <a:ln>
              <a:noFill/>
            </a:ln>
          </c:spPr>
          <c:cat>
            <c:strRef>
              <c:f>Rekap!$B$7:$B$12</c:f>
              <c:strCache>
                <c:ptCount val="6"/>
                <c:pt idx="0">
                  <c:v>W-325</c:v>
                </c:pt>
                <c:pt idx="1">
                  <c:v>W-350</c:v>
                </c:pt>
                <c:pt idx="2">
                  <c:v>W-400</c:v>
                </c:pt>
                <c:pt idx="3">
                  <c:v>W-450</c:v>
                </c:pt>
                <c:pt idx="4">
                  <c:v>W-500</c:v>
                </c:pt>
                <c:pt idx="5">
                  <c:v>W-600</c:v>
                </c:pt>
              </c:strCache>
            </c:strRef>
          </c:cat>
          <c:val>
            <c:numRef>
              <c:f>Rekap!$I$7:$I$12</c:f>
              <c:numCache>
                <c:formatCode>General</c:formatCode>
                <c:ptCount val="6"/>
                <c:pt idx="0">
                  <c:v>50088.50965097345</c:v>
                </c:pt>
                <c:pt idx="1">
                  <c:v>63208.278966690494</c:v>
                </c:pt>
                <c:pt idx="2">
                  <c:v>92776.63076930701</c:v>
                </c:pt>
                <c:pt idx="3">
                  <c:v>131825.55290917095</c:v>
                </c:pt>
                <c:pt idx="4">
                  <c:v>172492.80874135692</c:v>
                </c:pt>
                <c:pt idx="5">
                  <c:v>285729.16166096734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Tipe penampang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0E6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EI per m (kN·m²/m)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  <c:spPr>
        <a:ln>
          <a:noFill/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8</xdr:col>
      <xdr:colOff>504825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8FAD"/>
    <pageSetUpPr fitToPage="1"/>
  </sheetPr>
  <dimension ref="B1:H37"/>
  <sheetViews>
    <sheetView showGridLines="0"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defaultRowHeight="23" customHeight="1"/>
  <cols>
    <col min="1" max="1" width="3.7109375" customWidth="1"/>
    <col min="2" max="2" width="33.7109375" customWidth="1"/>
    <col min="3" max="3" width="20.7109375" customWidth="1"/>
    <col min="4" max="4" width="15.7109375" customWidth="1"/>
    <col min="5" max="5" width="3.7109375" customWidth="1"/>
    <col min="6" max="6" width="28.7109375" customWidth="1"/>
    <col min="7" max="7" width="23.7109375" customWidth="1"/>
    <col min="8" max="8" width="17.7109375" customWidth="1"/>
  </cols>
  <sheetData>
    <row r="1" spans="2:8" ht="23" customHeight="1">
      <c r="B1" s="1" t="s">
        <v>0</v>
      </c>
      <c r="C1" s="1"/>
      <c r="D1" s="1"/>
      <c r="E1" s="1"/>
      <c r="F1" s="1"/>
      <c r="G1" s="1"/>
      <c r="H1" s="1"/>
    </row>
    <row r="2" spans="2:8" ht="23" customHeight="1">
      <c r="B2" s="1"/>
      <c r="C2" s="1"/>
      <c r="D2" s="1"/>
      <c r="E2" s="1"/>
      <c r="F2" s="1"/>
      <c r="G2" s="1"/>
      <c r="H2" s="1"/>
    </row>
    <row r="3" spans="2:8" ht="23" customHeight="1">
      <c r="B3" s="2" t="s">
        <v>1</v>
      </c>
      <c r="C3" s="2"/>
      <c r="D3" s="2"/>
      <c r="E3" s="2"/>
      <c r="F3" s="2"/>
      <c r="G3" s="2"/>
      <c r="H3" s="2"/>
    </row>
    <row r="5" spans="2:8" ht="23" customHeight="1">
      <c r="B5" s="3" t="s">
        <v>2</v>
      </c>
      <c r="C5" s="3"/>
      <c r="D5" s="3"/>
      <c r="F5" s="3" t="s">
        <v>5</v>
      </c>
      <c r="G5" s="3"/>
      <c r="H5" s="3"/>
    </row>
    <row r="6" spans="2:8" ht="23" customHeight="1">
      <c r="B6" s="4" t="s">
        <v>8</v>
      </c>
      <c r="C6" s="5"/>
      <c r="D6" s="5"/>
      <c r="F6" s="6" t="s">
        <v>36</v>
      </c>
      <c r="G6" s="6"/>
      <c r="H6" s="6"/>
    </row>
    <row r="7" spans="2:8" ht="23" customHeight="1">
      <c r="B7" s="4" t="s">
        <v>9</v>
      </c>
      <c r="C7" s="5" t="s">
        <v>10</v>
      </c>
      <c r="D7" s="2"/>
      <c r="F7" s="7">
        <f>IF($C$27="OK",G17/$C$26,"")</f>
        <v>5961496.635155779</v>
      </c>
      <c r="G7" s="7"/>
      <c r="H7" s="7"/>
    </row>
    <row r="8" spans="2:8" ht="23" customHeight="1">
      <c r="B8" s="4" t="s">
        <v>11</v>
      </c>
      <c r="C8" s="8">
        <v>62.5</v>
      </c>
      <c r="D8" s="2" t="s">
        <v>12</v>
      </c>
      <c r="F8" s="7"/>
      <c r="G8" s="7"/>
      <c r="H8" s="7"/>
    </row>
    <row r="9" spans="2:8" ht="23" customHeight="1">
      <c r="B9" s="4" t="s">
        <v>13</v>
      </c>
      <c r="C9" s="8"/>
      <c r="D9" s="2" t="s">
        <v>12</v>
      </c>
      <c r="F9" s="9" t="s">
        <v>37</v>
      </c>
      <c r="G9" s="9"/>
      <c r="H9" s="9"/>
    </row>
    <row r="10" spans="2:8" ht="23" customHeight="1">
      <c r="B10" s="4" t="s">
        <v>14</v>
      </c>
      <c r="C10" s="8">
        <v>1</v>
      </c>
      <c r="D10" s="2" t="s">
        <v>15</v>
      </c>
    </row>
    <row r="11" spans="2:8" ht="23" customHeight="1">
      <c r="B11" s="4" t="s">
        <v>16</v>
      </c>
      <c r="C11" s="8">
        <v>1</v>
      </c>
      <c r="D11" s="2" t="s">
        <v>17</v>
      </c>
      <c r="F11" s="6" t="s">
        <v>38</v>
      </c>
      <c r="G11" s="6"/>
      <c r="H11" s="6"/>
    </row>
    <row r="12" spans="2:8" ht="23" customHeight="1">
      <c r="F12" s="7">
        <f>IF($C$27="OK",G18/$C$26,"")</f>
        <v>92776.63076930701</v>
      </c>
      <c r="G12" s="7"/>
      <c r="H12" s="7"/>
    </row>
    <row r="13" spans="2:8" ht="23" customHeight="1">
      <c r="B13" s="3" t="s">
        <v>3</v>
      </c>
      <c r="C13" s="3"/>
      <c r="D13" s="3"/>
      <c r="F13" s="7"/>
      <c r="G13" s="7"/>
      <c r="H13" s="7"/>
    </row>
    <row r="14" spans="2:8" ht="23" customHeight="1">
      <c r="B14" s="4" t="s">
        <v>18</v>
      </c>
      <c r="C14" s="8">
        <v>996</v>
      </c>
      <c r="D14" s="2" t="s">
        <v>19</v>
      </c>
      <c r="F14" s="9" t="s">
        <v>39</v>
      </c>
      <c r="G14" s="9"/>
      <c r="H14" s="9"/>
    </row>
    <row r="15" spans="2:8" ht="23" customHeight="1">
      <c r="B15" s="4" t="s">
        <v>20</v>
      </c>
      <c r="C15" s="8">
        <v>1598</v>
      </c>
      <c r="D15" s="2" t="s">
        <v>21</v>
      </c>
    </row>
    <row r="16" spans="2:8" ht="23" customHeight="1">
      <c r="B16" s="4" t="s">
        <v>22</v>
      </c>
      <c r="C16" s="8">
        <v>248691</v>
      </c>
      <c r="D16" s="2" t="s">
        <v>23</v>
      </c>
      <c r="F16" s="3" t="s">
        <v>6</v>
      </c>
      <c r="G16" s="3"/>
      <c r="H16" s="3"/>
    </row>
    <row r="17" spans="2:8" ht="23" customHeight="1">
      <c r="F17" s="4" t="s">
        <v>40</v>
      </c>
      <c r="G17" s="10">
        <f>IF($C$27="OK",$C$10*G21,"")</f>
        <v>5937650.648615156</v>
      </c>
      <c r="H17" s="2" t="s">
        <v>41</v>
      </c>
    </row>
    <row r="18" spans="2:8" ht="23" customHeight="1">
      <c r="B18" s="3" t="s">
        <v>4</v>
      </c>
      <c r="C18" s="3"/>
      <c r="D18" s="3"/>
      <c r="F18" s="4" t="s">
        <v>42</v>
      </c>
      <c r="G18" s="10">
        <f>IF($C$27="OK",$C$11*G22,"")</f>
        <v>92405.52424622979</v>
      </c>
      <c r="H18" s="2" t="s">
        <v>43</v>
      </c>
    </row>
    <row r="19" spans="2:8" ht="23" customHeight="1">
      <c r="B19" s="4" t="s">
        <v>24</v>
      </c>
      <c r="C19" s="11">
        <f>IFERROR(IF(C8&gt;0,4700*SQRT(C8),""),"")</f>
        <v>37156.762506978455</v>
      </c>
      <c r="D19" s="2" t="s">
        <v>12</v>
      </c>
    </row>
    <row r="20" spans="2:8" ht="23" customHeight="1">
      <c r="B20" s="4" t="s">
        <v>25</v>
      </c>
      <c r="C20" s="11">
        <f>IF(C9="",C19,IFERROR(IF(C9&gt;0,C9,""),""))</f>
        <v>37156.762506978455</v>
      </c>
      <c r="D20" s="2" t="s">
        <v>12</v>
      </c>
      <c r="F20" s="3" t="s">
        <v>7</v>
      </c>
      <c r="G20" s="3"/>
      <c r="H20" s="3"/>
    </row>
    <row r="21" spans="2:8" ht="23" customHeight="1">
      <c r="B21" s="4" t="s">
        <v>26</v>
      </c>
      <c r="C21" s="11">
        <f>IFERROR(IF(C7="Manual",C14,VLOOKUP(C7,Data_Produk!$B$7:$H$12,4,FALSE)),"")</f>
        <v>996</v>
      </c>
      <c r="D21" s="2" t="s">
        <v>19</v>
      </c>
      <c r="F21" s="4" t="s">
        <v>44</v>
      </c>
      <c r="G21" s="10">
        <f>IF($C$27="OK",$C$20*1000*$C$24,"")</f>
        <v>5937650.648615156</v>
      </c>
      <c r="H21" s="2" t="s">
        <v>41</v>
      </c>
    </row>
    <row r="22" spans="2:8" ht="23" customHeight="1">
      <c r="B22" s="4" t="s">
        <v>27</v>
      </c>
      <c r="C22" s="11">
        <f>IFERROR(IF(C7="Manual",C15,VLOOKUP(C7,Data_Produk!$B$7:$H$12,5,FALSE)),"")</f>
        <v>1598</v>
      </c>
      <c r="D22" s="2" t="s">
        <v>21</v>
      </c>
      <c r="F22" s="4" t="s">
        <v>45</v>
      </c>
      <c r="G22" s="10">
        <f>IF($C$27="OK",$C$20*1000*$C$25,"")</f>
        <v>92405.52424622979</v>
      </c>
      <c r="H22" s="2" t="s">
        <v>43</v>
      </c>
    </row>
    <row r="23" spans="2:8" ht="23" customHeight="1">
      <c r="B23" s="4" t="s">
        <v>28</v>
      </c>
      <c r="C23" s="11">
        <f>IFERROR(IF(C7="Manual",C16,VLOOKUP(C7,Data_Produk!$B$7:$H$12,6,FALSE)),"")</f>
        <v>248691</v>
      </c>
      <c r="D23" s="2" t="s">
        <v>23</v>
      </c>
    </row>
    <row r="24" spans="2:8" ht="23" customHeight="1">
      <c r="B24" s="4" t="s">
        <v>29</v>
      </c>
      <c r="C24" s="12">
        <f>IFERROR(IF(C22&gt;0,C22*10^-4,""),"")</f>
        <v>0.1598</v>
      </c>
      <c r="D24" s="2" t="s">
        <v>30</v>
      </c>
      <c r="F24" s="3" t="s">
        <v>46</v>
      </c>
      <c r="G24" s="3"/>
      <c r="H24" s="3"/>
    </row>
    <row r="25" spans="2:8" ht="23" customHeight="1">
      <c r="B25" s="4" t="s">
        <v>31</v>
      </c>
      <c r="C25" s="12">
        <f>IFERROR(IF(C23&gt;0,C23*10^-8,""),"")</f>
        <v>0.00248691</v>
      </c>
      <c r="D25" s="2" t="s">
        <v>32</v>
      </c>
      <c r="F25" s="13" t="s">
        <v>47</v>
      </c>
      <c r="G25" s="13"/>
      <c r="H25" s="13"/>
    </row>
    <row r="26" spans="2:8" ht="23" customHeight="1">
      <c r="B26" s="4" t="s">
        <v>33</v>
      </c>
      <c r="C26" s="11">
        <f>IFERROR(IF(C21&gt;0,C21/1000,""),"")</f>
        <v>0.996</v>
      </c>
      <c r="D26" s="2" t="s">
        <v>34</v>
      </c>
      <c r="F26" s="13"/>
      <c r="G26" s="13"/>
      <c r="H26" s="13"/>
    </row>
    <row r="27" spans="2:8" ht="23" customHeight="1">
      <c r="B27" s="4" t="s">
        <v>35</v>
      </c>
      <c r="C27" s="6" t="str">
        <f>IFERROR(IF(AND(COUNT(C20,C24:C26,C10:C11)=6,C20&gt;0,C24&gt;0,C25&gt;0,C26&gt;0,C10&gt;0,C10&lt;=1,C11&gt;0,C11&lt;=1),"OK","PERIKSA INPUT"),"PERIKSA INPUT")</f>
        <v>OK</v>
      </c>
      <c r="D27" s="6"/>
      <c r="F27" s="13"/>
      <c r="G27" s="13"/>
      <c r="H27" s="13"/>
    </row>
    <row r="29" spans="2:8" ht="23" customHeight="1">
      <c r="B29" s="13" t="s">
        <v>48</v>
      </c>
      <c r="C29" s="13"/>
      <c r="D29" s="13"/>
      <c r="E29" s="13"/>
      <c r="F29" s="13"/>
      <c r="G29" s="13"/>
      <c r="H29" s="13"/>
    </row>
    <row r="30" spans="2:8" ht="23" customHeight="1">
      <c r="B30" s="13"/>
      <c r="C30" s="13"/>
      <c r="D30" s="13"/>
      <c r="E30" s="13"/>
      <c r="F30" s="13"/>
      <c r="G30" s="13"/>
      <c r="H30" s="13"/>
    </row>
    <row r="31" spans="2:8" ht="23" customHeight="1">
      <c r="B31" s="14" t="s">
        <v>49</v>
      </c>
      <c r="C31" s="14"/>
      <c r="D31" s="14"/>
      <c r="E31" s="14"/>
      <c r="F31" s="14"/>
      <c r="G31" s="14"/>
      <c r="H31" s="14"/>
    </row>
    <row r="32" spans="2:8" ht="23" customHeight="1">
      <c r="B32" s="14"/>
      <c r="C32" s="14"/>
      <c r="D32" s="14"/>
      <c r="E32" s="14"/>
      <c r="F32" s="14"/>
      <c r="G32" s="14"/>
      <c r="H32" s="14"/>
    </row>
    <row r="34" spans="2:8" ht="23" customHeight="1">
      <c r="B34" s="13" t="s">
        <v>50</v>
      </c>
      <c r="C34" s="13"/>
      <c r="D34" s="13"/>
      <c r="E34" s="13"/>
      <c r="F34" s="13"/>
      <c r="G34" s="13"/>
      <c r="H34" s="13"/>
    </row>
    <row r="35" spans="2:8" ht="23" customHeight="1">
      <c r="B35" s="13"/>
      <c r="C35" s="13"/>
      <c r="D35" s="13"/>
      <c r="E35" s="13"/>
      <c r="F35" s="13"/>
      <c r="G35" s="13"/>
      <c r="H35" s="13"/>
    </row>
    <row r="37" spans="2:8" ht="23" customHeight="1">
      <c r="B37" s="15" t="s">
        <v>51</v>
      </c>
    </row>
  </sheetData>
  <mergeCells count="21">
    <mergeCell ref="B1:H2"/>
    <mergeCell ref="B3:H3"/>
    <mergeCell ref="B5:D5"/>
    <mergeCell ref="B13:D13"/>
    <mergeCell ref="B18:D18"/>
    <mergeCell ref="F5:H5"/>
    <mergeCell ref="F16:H16"/>
    <mergeCell ref="F20:H20"/>
    <mergeCell ref="C6:D6"/>
    <mergeCell ref="C27:D27"/>
    <mergeCell ref="F6:H6"/>
    <mergeCell ref="F7:H8"/>
    <mergeCell ref="F9:H9"/>
    <mergeCell ref="F11:H11"/>
    <mergeCell ref="F12:H13"/>
    <mergeCell ref="F14:H14"/>
    <mergeCell ref="F24:H24"/>
    <mergeCell ref="F25:H27"/>
    <mergeCell ref="B29:H30"/>
    <mergeCell ref="B31:H32"/>
    <mergeCell ref="B34:H35"/>
  </mergeCells>
  <conditionalFormatting sqref="C27:D27">
    <cfRule type="containsText" dxfId="0" priority="1" operator="containsText" text="PERIKSA">
      <formula>NOT(ISERROR(SEARCH("PERIKSA",C27)))</formula>
    </cfRule>
  </conditionalFormatting>
  <dataValidations count="8">
    <dataValidation type="list" allowBlank="1" showInputMessage="1" showErrorMessage="1" error="Pilih tipe dari daftar." promptTitle="Pilih penampang" prompt="Pilih Manual untuk memakai C14:C16." sqref="C7">
      <formula1>"W-325,W-350,W-400,W-450,W-500,W-600,Manual"</formula1>
    </dataValidation>
    <dataValidation type="decimal" operator="greaterThan" allowBlank="1" showInputMessage="1" showErrorMessage="1" error="Masukkan angka lebih besar dari nol." sqref="C8">
      <formula1>0</formula1>
    </dataValidation>
    <dataValidation type="decimal" operator="greaterThan" allowBlank="1" showInputMessage="1" showErrorMessage="1" error="Masukkan angka lebih besar dari nol." sqref="C9">
      <formula1>0</formula1>
    </dataValidation>
    <dataValidation type="decimal" operator="greaterThan" allowBlank="1" showInputMessage="1" showErrorMessage="1" error="Masukkan angka lebih besar dari nol." sqref="C14">
      <formula1>0</formula1>
    </dataValidation>
    <dataValidation type="decimal" operator="greaterThan" allowBlank="1" showInputMessage="1" showErrorMessage="1" error="Masukkan angka lebih besar dari nol." sqref="C15">
      <formula1>0</formula1>
    </dataValidation>
    <dataValidation type="decimal" operator="greaterThan" allowBlank="1" showInputMessage="1" showErrorMessage="1" error="Masukkan angka lebih besar dari nol." sqref="C16">
      <formula1>0</formula1>
    </dataValidation>
    <dataValidation type="decimal" allowBlank="1" showInputMessage="1" showErrorMessage="1" error="Faktor harus lebih dari 0 dan maksimum 1." sqref="C10">
      <formula1>1e-06</formula1>
      <formula2>1</formula2>
    </dataValidation>
    <dataValidation type="decimal" allowBlank="1" showInputMessage="1" showErrorMessage="1" error="Faktor harus lebih dari 0 dan maksimum 1." sqref="C11">
      <formula1>1e-06</formula1>
      <formula2>1</formula2>
    </dataValidation>
  </dataValidations>
  <hyperlinks>
    <hyperlink ref="B37" location="'Petunjuk'!B1" display="Baca petunjuk dan dasar perhitungan →"/>
  </hyperlinks>
  <pageMargins left="0.25" right="0.25" top="0.35" bottom="0.35" header="0.3" footer="0.15"/>
  <pageSetup paperSize="9" orientation="landscape"/>
  <headerFooter>
    <oddFooter>&amp;LTemplate EA / EI Sheet Pile Beton&amp;RHalaman &amp;P dari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8FAD"/>
    <pageSetUpPr fitToPage="1"/>
  </sheetPr>
  <dimension ref="B1:H24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3" customHeight="1"/>
  <cols>
    <col min="1" max="1" width="3.7109375" customWidth="1"/>
    <col min="2" max="2" width="15.7109375" customWidth="1"/>
    <col min="3" max="5" width="17.7109375" customWidth="1"/>
    <col min="6" max="7" width="22.7109375" customWidth="1"/>
    <col min="8" max="8" width="18.7109375" customWidth="1"/>
  </cols>
  <sheetData>
    <row r="1" spans="2:8" ht="23" customHeight="1">
      <c r="B1" s="1" t="s">
        <v>52</v>
      </c>
      <c r="C1" s="1"/>
      <c r="D1" s="1"/>
      <c r="E1" s="1"/>
      <c r="F1" s="1"/>
      <c r="G1" s="1"/>
      <c r="H1" s="1"/>
    </row>
    <row r="2" spans="2:8" ht="23" customHeight="1">
      <c r="B2" s="1"/>
      <c r="C2" s="1"/>
      <c r="D2" s="1"/>
      <c r="E2" s="1"/>
      <c r="F2" s="1"/>
      <c r="G2" s="1"/>
      <c r="H2" s="1"/>
    </row>
    <row r="3" spans="2:8" ht="23" customHeight="1">
      <c r="B3" s="2" t="s">
        <v>53</v>
      </c>
      <c r="C3" s="2"/>
      <c r="D3" s="2"/>
      <c r="E3" s="2"/>
      <c r="F3" s="2"/>
      <c r="G3" s="2"/>
      <c r="H3" s="2"/>
    </row>
    <row r="6" spans="2:8" ht="39" customHeight="1">
      <c r="B6" s="16" t="s">
        <v>54</v>
      </c>
      <c r="C6" s="16" t="s">
        <v>55</v>
      </c>
      <c r="D6" s="16" t="s">
        <v>56</v>
      </c>
      <c r="E6" s="16" t="s">
        <v>57</v>
      </c>
      <c r="F6" s="16" t="s">
        <v>58</v>
      </c>
      <c r="G6" s="16" t="s">
        <v>59</v>
      </c>
      <c r="H6" s="16" t="s">
        <v>60</v>
      </c>
    </row>
    <row r="7" spans="2:8" ht="23" customHeight="1">
      <c r="B7" s="5" t="s">
        <v>61</v>
      </c>
      <c r="C7" s="8">
        <v>325</v>
      </c>
      <c r="D7" s="8">
        <v>110</v>
      </c>
      <c r="E7" s="8">
        <v>996</v>
      </c>
      <c r="F7" s="8">
        <v>1315</v>
      </c>
      <c r="G7" s="8">
        <v>134264</v>
      </c>
      <c r="H7" s="8">
        <v>329</v>
      </c>
    </row>
    <row r="8" spans="2:8" ht="23" customHeight="1">
      <c r="B8" s="5" t="s">
        <v>62</v>
      </c>
      <c r="C8" s="8">
        <v>350</v>
      </c>
      <c r="D8" s="8">
        <v>120</v>
      </c>
      <c r="E8" s="8">
        <v>996</v>
      </c>
      <c r="F8" s="8">
        <v>1468</v>
      </c>
      <c r="G8" s="8">
        <v>169432</v>
      </c>
      <c r="H8" s="8">
        <v>368</v>
      </c>
    </row>
    <row r="9" spans="2:8" ht="23" customHeight="1">
      <c r="B9" s="5" t="s">
        <v>10</v>
      </c>
      <c r="C9" s="8">
        <v>400</v>
      </c>
      <c r="D9" s="8">
        <v>120</v>
      </c>
      <c r="E9" s="8">
        <v>996</v>
      </c>
      <c r="F9" s="8">
        <v>1598</v>
      </c>
      <c r="G9" s="8">
        <v>248691</v>
      </c>
      <c r="H9" s="8">
        <v>400</v>
      </c>
    </row>
    <row r="10" spans="2:8" ht="23" customHeight="1">
      <c r="B10" s="5" t="s">
        <v>63</v>
      </c>
      <c r="C10" s="8">
        <v>450</v>
      </c>
      <c r="D10" s="8">
        <v>120</v>
      </c>
      <c r="E10" s="8">
        <v>996</v>
      </c>
      <c r="F10" s="8">
        <v>1825</v>
      </c>
      <c r="G10" s="8">
        <v>353363</v>
      </c>
      <c r="H10" s="8">
        <v>459</v>
      </c>
    </row>
    <row r="11" spans="2:8" ht="23" customHeight="1">
      <c r="B11" s="5" t="s">
        <v>64</v>
      </c>
      <c r="C11" s="8">
        <v>500</v>
      </c>
      <c r="D11" s="8">
        <v>120</v>
      </c>
      <c r="E11" s="8">
        <v>996</v>
      </c>
      <c r="F11" s="8">
        <v>1818</v>
      </c>
      <c r="G11" s="8">
        <v>462373</v>
      </c>
      <c r="H11" s="8">
        <v>455</v>
      </c>
    </row>
    <row r="12" spans="2:8" ht="23" customHeight="1">
      <c r="B12" s="5" t="s">
        <v>65</v>
      </c>
      <c r="C12" s="8">
        <v>600</v>
      </c>
      <c r="D12" s="8">
        <v>120</v>
      </c>
      <c r="E12" s="8">
        <v>996</v>
      </c>
      <c r="F12" s="8">
        <v>2078</v>
      </c>
      <c r="G12" s="8">
        <v>765907</v>
      </c>
      <c r="H12" s="8">
        <v>520</v>
      </c>
    </row>
    <row r="14" spans="2:8" ht="23" customHeight="1">
      <c r="B14" s="13" t="s">
        <v>66</v>
      </c>
      <c r="C14" s="13"/>
      <c r="D14" s="13"/>
      <c r="E14" s="13"/>
      <c r="F14" s="13"/>
      <c r="G14" s="13"/>
      <c r="H14" s="13"/>
    </row>
    <row r="15" spans="2:8" ht="23" customHeight="1">
      <c r="B15" s="13"/>
      <c r="C15" s="13"/>
      <c r="D15" s="13"/>
      <c r="E15" s="13"/>
      <c r="F15" s="13"/>
      <c r="G15" s="13"/>
      <c r="H15" s="13"/>
    </row>
    <row r="17" spans="2:8" ht="23" customHeight="1">
      <c r="B17" s="14" t="s">
        <v>67</v>
      </c>
      <c r="C17" s="14"/>
      <c r="D17" s="14"/>
      <c r="E17" s="14"/>
      <c r="F17" s="14"/>
      <c r="G17" s="14"/>
      <c r="H17" s="14"/>
    </row>
    <row r="18" spans="2:8" ht="23" customHeight="1">
      <c r="B18" s="14"/>
      <c r="C18" s="14"/>
      <c r="D18" s="14"/>
      <c r="E18" s="14"/>
      <c r="F18" s="14"/>
      <c r="G18" s="14"/>
      <c r="H18" s="14"/>
    </row>
    <row r="20" spans="2:8" ht="23" customHeight="1">
      <c r="B20" s="13" t="s">
        <v>68</v>
      </c>
      <c r="C20" s="13"/>
      <c r="D20" s="13"/>
      <c r="E20" s="13"/>
      <c r="F20" s="13"/>
      <c r="G20" s="13"/>
      <c r="H20" s="13"/>
    </row>
    <row r="21" spans="2:8" ht="23" customHeight="1">
      <c r="B21" s="13"/>
      <c r="C21" s="13"/>
      <c r="D21" s="13"/>
      <c r="E21" s="13"/>
      <c r="F21" s="13"/>
      <c r="G21" s="13"/>
      <c r="H21" s="13"/>
    </row>
    <row r="23" spans="2:8" ht="23" customHeight="1">
      <c r="B23" s="13" t="s">
        <v>69</v>
      </c>
      <c r="C23" s="13"/>
      <c r="D23" s="13"/>
      <c r="E23" s="13"/>
      <c r="F23" s="13"/>
      <c r="G23" s="13"/>
      <c r="H23" s="13"/>
    </row>
    <row r="24" spans="2:8" ht="23" customHeight="1">
      <c r="B24" s="13"/>
      <c r="C24" s="13"/>
      <c r="D24" s="13"/>
      <c r="E24" s="13"/>
      <c r="F24" s="13"/>
      <c r="G24" s="13"/>
      <c r="H24" s="13"/>
    </row>
  </sheetData>
  <autoFilter ref="B6:H12"/>
  <mergeCells count="6">
    <mergeCell ref="B1:H2"/>
    <mergeCell ref="B3:H3"/>
    <mergeCell ref="B14:H15"/>
    <mergeCell ref="B17:H18"/>
    <mergeCell ref="B20:H21"/>
    <mergeCell ref="B23:H24"/>
  </mergeCells>
  <dataValidations count="36">
    <dataValidation type="decimal" operator="greaterThan" allowBlank="1" showInputMessage="1" showErrorMessage="1" error="Nilai harus lebih besar dari nol." sqref="C7">
      <formula1>0</formula1>
    </dataValidation>
    <dataValidation type="decimal" operator="greaterThan" allowBlank="1" showInputMessage="1" showErrorMessage="1" error="Nilai harus lebih besar dari nol." sqref="D7">
      <formula1>0</formula1>
    </dataValidation>
    <dataValidation type="decimal" operator="greaterThan" allowBlank="1" showInputMessage="1" showErrorMessage="1" error="Nilai harus lebih besar dari nol." sqref="E7">
      <formula1>0</formula1>
    </dataValidation>
    <dataValidation type="decimal" operator="greaterThan" allowBlank="1" showInputMessage="1" showErrorMessage="1" error="Nilai harus lebih besar dari nol." sqref="F7">
      <formula1>0</formula1>
    </dataValidation>
    <dataValidation type="decimal" operator="greaterThan" allowBlank="1" showInputMessage="1" showErrorMessage="1" error="Nilai harus lebih besar dari nol." sqref="G7">
      <formula1>0</formula1>
    </dataValidation>
    <dataValidation type="decimal" operator="greaterThan" allowBlank="1" showInputMessage="1" showErrorMessage="1" error="Nilai harus lebih besar dari nol." sqref="H7">
      <formula1>0</formula1>
    </dataValidation>
    <dataValidation type="decimal" operator="greaterThan" allowBlank="1" showInputMessage="1" showErrorMessage="1" error="Nilai harus lebih besar dari nol." sqref="C8">
      <formula1>0</formula1>
    </dataValidation>
    <dataValidation type="decimal" operator="greaterThan" allowBlank="1" showInputMessage="1" showErrorMessage="1" error="Nilai harus lebih besar dari nol." sqref="D8">
      <formula1>0</formula1>
    </dataValidation>
    <dataValidation type="decimal" operator="greaterThan" allowBlank="1" showInputMessage="1" showErrorMessage="1" error="Nilai harus lebih besar dari nol." sqref="E8">
      <formula1>0</formula1>
    </dataValidation>
    <dataValidation type="decimal" operator="greaterThan" allowBlank="1" showInputMessage="1" showErrorMessage="1" error="Nilai harus lebih besar dari nol." sqref="F8">
      <formula1>0</formula1>
    </dataValidation>
    <dataValidation type="decimal" operator="greaterThan" allowBlank="1" showInputMessage="1" showErrorMessage="1" error="Nilai harus lebih besar dari nol." sqref="G8">
      <formula1>0</formula1>
    </dataValidation>
    <dataValidation type="decimal" operator="greaterThan" allowBlank="1" showInputMessage="1" showErrorMessage="1" error="Nilai harus lebih besar dari nol." sqref="H8">
      <formula1>0</formula1>
    </dataValidation>
    <dataValidation type="decimal" operator="greaterThan" allowBlank="1" showInputMessage="1" showErrorMessage="1" error="Nilai harus lebih besar dari nol." sqref="C9">
      <formula1>0</formula1>
    </dataValidation>
    <dataValidation type="decimal" operator="greaterThan" allowBlank="1" showInputMessage="1" showErrorMessage="1" error="Nilai harus lebih besar dari nol." sqref="D9">
      <formula1>0</formula1>
    </dataValidation>
    <dataValidation type="decimal" operator="greaterThan" allowBlank="1" showInputMessage="1" showErrorMessage="1" error="Nilai harus lebih besar dari nol." sqref="E9">
      <formula1>0</formula1>
    </dataValidation>
    <dataValidation type="decimal" operator="greaterThan" allowBlank="1" showInputMessage="1" showErrorMessage="1" error="Nilai harus lebih besar dari nol." sqref="F9">
      <formula1>0</formula1>
    </dataValidation>
    <dataValidation type="decimal" operator="greaterThan" allowBlank="1" showInputMessage="1" showErrorMessage="1" error="Nilai harus lebih besar dari nol." sqref="G9">
      <formula1>0</formula1>
    </dataValidation>
    <dataValidation type="decimal" operator="greaterThan" allowBlank="1" showInputMessage="1" showErrorMessage="1" error="Nilai harus lebih besar dari nol." sqref="H9">
      <formula1>0</formula1>
    </dataValidation>
    <dataValidation type="decimal" operator="greaterThan" allowBlank="1" showInputMessage="1" showErrorMessage="1" error="Nilai harus lebih besar dari nol." sqref="C10">
      <formula1>0</formula1>
    </dataValidation>
    <dataValidation type="decimal" operator="greaterThan" allowBlank="1" showInputMessage="1" showErrorMessage="1" error="Nilai harus lebih besar dari nol." sqref="D10">
      <formula1>0</formula1>
    </dataValidation>
    <dataValidation type="decimal" operator="greaterThan" allowBlank="1" showInputMessage="1" showErrorMessage="1" error="Nilai harus lebih besar dari nol." sqref="E10">
      <formula1>0</formula1>
    </dataValidation>
    <dataValidation type="decimal" operator="greaterThan" allowBlank="1" showInputMessage="1" showErrorMessage="1" error="Nilai harus lebih besar dari nol." sqref="F10">
      <formula1>0</formula1>
    </dataValidation>
    <dataValidation type="decimal" operator="greaterThan" allowBlank="1" showInputMessage="1" showErrorMessage="1" error="Nilai harus lebih besar dari nol." sqref="G10">
      <formula1>0</formula1>
    </dataValidation>
    <dataValidation type="decimal" operator="greaterThan" allowBlank="1" showInputMessage="1" showErrorMessage="1" error="Nilai harus lebih besar dari nol." sqref="H10">
      <formula1>0</formula1>
    </dataValidation>
    <dataValidation type="decimal" operator="greaterThan" allowBlank="1" showInputMessage="1" showErrorMessage="1" error="Nilai harus lebih besar dari nol." sqref="C11">
      <formula1>0</formula1>
    </dataValidation>
    <dataValidation type="decimal" operator="greaterThan" allowBlank="1" showInputMessage="1" showErrorMessage="1" error="Nilai harus lebih besar dari nol." sqref="D11">
      <formula1>0</formula1>
    </dataValidation>
    <dataValidation type="decimal" operator="greaterThan" allowBlank="1" showInputMessage="1" showErrorMessage="1" error="Nilai harus lebih besar dari nol." sqref="E11">
      <formula1>0</formula1>
    </dataValidation>
    <dataValidation type="decimal" operator="greaterThan" allowBlank="1" showInputMessage="1" showErrorMessage="1" error="Nilai harus lebih besar dari nol." sqref="F11">
      <formula1>0</formula1>
    </dataValidation>
    <dataValidation type="decimal" operator="greaterThan" allowBlank="1" showInputMessage="1" showErrorMessage="1" error="Nilai harus lebih besar dari nol." sqref="G11">
      <formula1>0</formula1>
    </dataValidation>
    <dataValidation type="decimal" operator="greaterThan" allowBlank="1" showInputMessage="1" showErrorMessage="1" error="Nilai harus lebih besar dari nol." sqref="H11">
      <formula1>0</formula1>
    </dataValidation>
    <dataValidation type="decimal" operator="greaterThan" allowBlank="1" showInputMessage="1" showErrorMessage="1" error="Nilai harus lebih besar dari nol." sqref="C12">
      <formula1>0</formula1>
    </dataValidation>
    <dataValidation type="decimal" operator="greaterThan" allowBlank="1" showInputMessage="1" showErrorMessage="1" error="Nilai harus lebih besar dari nol." sqref="D12">
      <formula1>0</formula1>
    </dataValidation>
    <dataValidation type="decimal" operator="greaterThan" allowBlank="1" showInputMessage="1" showErrorMessage="1" error="Nilai harus lebih besar dari nol." sqref="E12">
      <formula1>0</formula1>
    </dataValidation>
    <dataValidation type="decimal" operator="greaterThan" allowBlank="1" showInputMessage="1" showErrorMessage="1" error="Nilai harus lebih besar dari nol." sqref="F12">
      <formula1>0</formula1>
    </dataValidation>
    <dataValidation type="decimal" operator="greaterThan" allowBlank="1" showInputMessage="1" showErrorMessage="1" error="Nilai harus lebih besar dari nol." sqref="G12">
      <formula1>0</formula1>
    </dataValidation>
    <dataValidation type="decimal" operator="greaterThan" allowBlank="1" showInputMessage="1" showErrorMessage="1" error="Nilai harus lebih besar dari nol." sqref="H12">
      <formula1>0</formula1>
    </dataValidation>
  </dataValidations>
  <pageMargins left="0.25" right="0.25" top="0.35" bottom="0.35" header="0.3" footer="0.15"/>
  <pageSetup paperSize="9" orientation="landscape"/>
  <headerFooter>
    <oddFooter>&amp;LTemplate EA / EI Sheet Pile Beton&amp;RHalaman &amp;P dari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8FAD"/>
    <pageSetUpPr fitToPage="1"/>
  </sheetPr>
  <dimension ref="B1:I18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3" customHeight="1"/>
  <cols>
    <col min="1" max="1" width="3.7109375" customWidth="1"/>
    <col min="2" max="2" width="14.7109375" customWidth="1"/>
    <col min="3" max="4" width="16.7109375" customWidth="1"/>
    <col min="5" max="5" width="13.7109375" customWidth="1"/>
    <col min="6" max="7" width="17.7109375" customWidth="1"/>
    <col min="8" max="9" width="23.7109375" customWidth="1"/>
  </cols>
  <sheetData>
    <row r="1" spans="2:9" ht="23" customHeight="1">
      <c r="B1" s="1" t="s">
        <v>70</v>
      </c>
      <c r="C1" s="1"/>
      <c r="D1" s="1"/>
      <c r="E1" s="1"/>
      <c r="F1" s="1"/>
      <c r="G1" s="1"/>
      <c r="H1" s="1"/>
      <c r="I1" s="1"/>
    </row>
    <row r="2" spans="2:9" ht="23" customHeight="1">
      <c r="B2" s="1"/>
      <c r="C2" s="1"/>
      <c r="D2" s="1"/>
      <c r="E2" s="1"/>
      <c r="F2" s="1"/>
      <c r="G2" s="1"/>
      <c r="H2" s="1"/>
      <c r="I2" s="1"/>
    </row>
    <row r="3" spans="2:9" ht="23" customHeight="1">
      <c r="B3" s="2" t="s">
        <v>71</v>
      </c>
      <c r="C3" s="2"/>
      <c r="D3" s="2"/>
      <c r="E3" s="2"/>
      <c r="F3" s="2"/>
      <c r="G3" s="2"/>
      <c r="H3" s="2"/>
      <c r="I3" s="2"/>
    </row>
    <row r="4" spans="2:9" ht="23" customHeight="1">
      <c r="B4" s="4" t="s">
        <v>72</v>
      </c>
      <c r="C4" s="11">
        <f>Kalkulasi!C20</f>
        <v>37156.762506978455</v>
      </c>
      <c r="D4" s="4" t="s">
        <v>73</v>
      </c>
      <c r="E4" s="11">
        <f>Kalkulasi!C10</f>
        <v>1</v>
      </c>
      <c r="F4" s="4" t="s">
        <v>74</v>
      </c>
      <c r="G4" s="11">
        <f>Kalkulasi!C11</f>
        <v>1</v>
      </c>
    </row>
    <row r="6" spans="2:9" ht="39" customHeight="1">
      <c r="B6" s="16" t="s">
        <v>54</v>
      </c>
      <c r="C6" s="16" t="s">
        <v>75</v>
      </c>
      <c r="D6" s="16" t="s">
        <v>76</v>
      </c>
      <c r="E6" s="16" t="s">
        <v>77</v>
      </c>
      <c r="F6" s="16" t="s">
        <v>78</v>
      </c>
      <c r="G6" s="16" t="s">
        <v>79</v>
      </c>
      <c r="H6" s="16" t="s">
        <v>80</v>
      </c>
      <c r="I6" s="16" t="s">
        <v>81</v>
      </c>
    </row>
    <row r="7" spans="2:9" ht="23" customHeight="1">
      <c r="B7" s="17" t="str">
        <f>Data_Produk!B7</f>
        <v>W-325</v>
      </c>
      <c r="C7" s="18">
        <f>Data_Produk!F7</f>
        <v>1315</v>
      </c>
      <c r="D7" s="18">
        <f>Data_Produk!G7</f>
        <v>134264</v>
      </c>
      <c r="E7" s="11">
        <f>Data_Produk!E7/1000</f>
        <v>0.996</v>
      </c>
      <c r="F7" s="10">
        <f>IFERROR(IF(AND(ISNUMBER($C$4),$C$4&gt;0,ISNUMBER($E$4),$E$4&gt;0,$E$4&lt;=1,ISNUMBER($G$4),$G$4&gt;0,$G$4&lt;=1,ISNUMBER(C7),C7&gt;0,ISNUMBER(D7),D7&gt;0,ISNUMBER(E7),E7&gt;0),$C$4*1000*C7*10^-4*$E$4,""),"")</f>
        <v>4886114.269667666</v>
      </c>
      <c r="G7" s="10">
        <f>IFERROR(IF(AND(ISNUMBER($C$4),$C$4&gt;0,ISNUMBER($E$4),$E$4&gt;0,$E$4&lt;=1,ISNUMBER($G$4),$G$4&gt;0,$G$4&lt;=1,ISNUMBER(C7),C7&gt;0,ISNUMBER(D7),D7&gt;0,ISNUMBER(E7),E7&gt;0),$C$4*1000*D7*10^-8*$G$4,""),"")</f>
        <v>49888.155612369555</v>
      </c>
      <c r="H7" s="10">
        <f>IFERROR(IF(AND(ISNUMBER($C$4),$C$4&gt;0,ISNUMBER($E$4),$E$4&gt;0,$E$4&lt;=1,ISNUMBER($G$4),$G$4&gt;0,$G$4&lt;=1,ISNUMBER(C7),C7&gt;0,ISNUMBER(D7),D7&gt;0,ISNUMBER(E7),E7&gt;0),F7/E7,""),"")</f>
        <v>4905737.218541834</v>
      </c>
      <c r="I7" s="10">
        <f>IFERROR(IF(AND(ISNUMBER($C$4),$C$4&gt;0,ISNUMBER($E$4),$E$4&gt;0,$E$4&lt;=1,ISNUMBER($G$4),$G$4&gt;0,$G$4&lt;=1,ISNUMBER(C7),C7&gt;0,ISNUMBER(D7),D7&gt;0,ISNUMBER(E7),E7&gt;0),G7/E7,""),"")</f>
        <v>50088.50965097345</v>
      </c>
    </row>
    <row r="8" spans="2:9" ht="23" customHeight="1">
      <c r="B8" s="17" t="str">
        <f>Data_Produk!B8</f>
        <v>W-350</v>
      </c>
      <c r="C8" s="18">
        <f>Data_Produk!F8</f>
        <v>1468</v>
      </c>
      <c r="D8" s="18">
        <f>Data_Produk!G8</f>
        <v>169432</v>
      </c>
      <c r="E8" s="11">
        <f>Data_Produk!E8/1000</f>
        <v>0.996</v>
      </c>
      <c r="F8" s="10">
        <f>IFERROR(IF(AND(ISNUMBER($C$4),$C$4&gt;0,ISNUMBER($E$4),$E$4&gt;0,$E$4&lt;=1,ISNUMBER($G$4),$G$4&gt;0,$G$4&lt;=1,ISNUMBER(C8),C8&gt;0,ISNUMBER(D8),D8&gt;0,ISNUMBER(E8),E8&gt;0),$C$4*1000*C8*10^-4*$E$4,""),"")</f>
        <v>5454612.7360244375</v>
      </c>
      <c r="G8" s="10">
        <f>IFERROR(IF(AND(ISNUMBER($C$4),$C$4&gt;0,ISNUMBER($E$4),$E$4&gt;0,$E$4&lt;=1,ISNUMBER($G$4),$G$4&gt;0,$G$4&lt;=1,ISNUMBER(C8),C8&gt;0,ISNUMBER(D8),D8&gt;0,ISNUMBER(E8),E8&gt;0),$C$4*1000*D8*10^-8*$G$4,""),"")</f>
        <v>62955.44585082373</v>
      </c>
      <c r="H8" s="10">
        <f>IFERROR(IF(AND(ISNUMBER($C$4),$C$4&gt;0,ISNUMBER($E$4),$E$4&gt;0,$E$4&lt;=1,ISNUMBER($G$4),$G$4&gt;0,$G$4&lt;=1,ISNUMBER(C8),C8&gt;0,ISNUMBER(D8),D8&gt;0,ISNUMBER(E8),E8&gt;0),F8/E8,""),"")</f>
        <v>5476518.811269515</v>
      </c>
      <c r="I8" s="10">
        <f>IFERROR(IF(AND(ISNUMBER($C$4),$C$4&gt;0,ISNUMBER($E$4),$E$4&gt;0,$E$4&lt;=1,ISNUMBER($G$4),$G$4&gt;0,$G$4&lt;=1,ISNUMBER(C8),C8&gt;0,ISNUMBER(D8),D8&gt;0,ISNUMBER(E8),E8&gt;0),G8/E8,""),"")</f>
        <v>63208.278966690494</v>
      </c>
    </row>
    <row r="9" spans="2:9" ht="23" customHeight="1">
      <c r="B9" s="17" t="str">
        <f>Data_Produk!B9</f>
        <v>W-400</v>
      </c>
      <c r="C9" s="18">
        <f>Data_Produk!F9</f>
        <v>1598</v>
      </c>
      <c r="D9" s="18">
        <f>Data_Produk!G9</f>
        <v>248691</v>
      </c>
      <c r="E9" s="11">
        <f>Data_Produk!E9/1000</f>
        <v>0.996</v>
      </c>
      <c r="F9" s="10">
        <f>IFERROR(IF(AND(ISNUMBER($C$4),$C$4&gt;0,ISNUMBER($E$4),$E$4&gt;0,$E$4&lt;=1,ISNUMBER($G$4),$G$4&gt;0,$G$4&lt;=1,ISNUMBER(C9),C9&gt;0,ISNUMBER(D9),D9&gt;0,ISNUMBER(E9),E9&gt;0),$C$4*1000*C9*10^-4*$E$4,""),"")</f>
        <v>5937650.648615157</v>
      </c>
      <c r="G9" s="10">
        <f>IFERROR(IF(AND(ISNUMBER($C$4),$C$4&gt;0,ISNUMBER($E$4),$E$4&gt;0,$E$4&lt;=1,ISNUMBER($G$4),$G$4&gt;0,$G$4&lt;=1,ISNUMBER(C9),C9&gt;0,ISNUMBER(D9),D9&gt;0,ISNUMBER(E9),E9&gt;0),$C$4*1000*D9*10^-8*$G$4,""),"")</f>
        <v>92405.52424622979</v>
      </c>
      <c r="H9" s="10">
        <f>IFERROR(IF(AND(ISNUMBER($C$4),$C$4&gt;0,ISNUMBER($E$4),$E$4&gt;0,$E$4&lt;=1,ISNUMBER($G$4),$G$4&gt;0,$G$4&lt;=1,ISNUMBER(C9),C9&gt;0,ISNUMBER(D9),D9&gt;0,ISNUMBER(E9),E9&gt;0),F9/E9,""),"")</f>
        <v>5961496.63515578</v>
      </c>
      <c r="I9" s="10">
        <f>IFERROR(IF(AND(ISNUMBER($C$4),$C$4&gt;0,ISNUMBER($E$4),$E$4&gt;0,$E$4&lt;=1,ISNUMBER($G$4),$G$4&gt;0,$G$4&lt;=1,ISNUMBER(C9),C9&gt;0,ISNUMBER(D9),D9&gt;0,ISNUMBER(E9),E9&gt;0),G9/E9,""),"")</f>
        <v>92776.63076930701</v>
      </c>
    </row>
    <row r="10" spans="2:9" ht="23" customHeight="1">
      <c r="B10" s="17" t="str">
        <f>Data_Produk!B10</f>
        <v>W-450</v>
      </c>
      <c r="C10" s="18">
        <f>Data_Produk!F10</f>
        <v>1825</v>
      </c>
      <c r="D10" s="18">
        <f>Data_Produk!G10</f>
        <v>353363</v>
      </c>
      <c r="E10" s="11">
        <f>Data_Produk!E10/1000</f>
        <v>0.996</v>
      </c>
      <c r="F10" s="10">
        <f>IFERROR(IF(AND(ISNUMBER($C$4),$C$4&gt;0,ISNUMBER($E$4),$E$4&gt;0,$E$4&lt;=1,ISNUMBER($G$4),$G$4&gt;0,$G$4&lt;=1,ISNUMBER(C10),C10&gt;0,ISNUMBER(D10),D10&gt;0,ISNUMBER(E10),E10&gt;0),$C$4*1000*C10*10^-4*$E$4,""),"")</f>
        <v>6781109.157523568</v>
      </c>
      <c r="G10" s="10">
        <f>IFERROR(IF(AND(ISNUMBER($C$4),$C$4&gt;0,ISNUMBER($E$4),$E$4&gt;0,$E$4&lt;=1,ISNUMBER($G$4),$G$4&gt;0,$G$4&lt;=1,ISNUMBER(C10),C10&gt;0,ISNUMBER(D10),D10&gt;0,ISNUMBER(E10),E10&gt;0),$C$4*1000*D10*10^-8*$G$4,""),"")</f>
        <v>131298.25069753427</v>
      </c>
      <c r="H10" s="10">
        <f>IFERROR(IF(AND(ISNUMBER($C$4),$C$4&gt;0,ISNUMBER($E$4),$E$4&gt;0,$E$4&lt;=1,ISNUMBER($G$4),$G$4&gt;0,$G$4&lt;=1,ISNUMBER(C10),C10&gt;0,ISNUMBER(D10),D10&gt;0,ISNUMBER(E10),E10&gt;0),F10/E10,""),"")</f>
        <v>6808342.527634104</v>
      </c>
      <c r="I10" s="10">
        <f>IFERROR(IF(AND(ISNUMBER($C$4),$C$4&gt;0,ISNUMBER($E$4),$E$4&gt;0,$E$4&lt;=1,ISNUMBER($G$4),$G$4&gt;0,$G$4&lt;=1,ISNUMBER(C10),C10&gt;0,ISNUMBER(D10),D10&gt;0,ISNUMBER(E10),E10&gt;0),G10/E10,""),"")</f>
        <v>131825.55290917095</v>
      </c>
    </row>
    <row r="11" spans="2:9" ht="23" customHeight="1">
      <c r="B11" s="17" t="str">
        <f>Data_Produk!B11</f>
        <v>W-500</v>
      </c>
      <c r="C11" s="18">
        <f>Data_Produk!F11</f>
        <v>1818</v>
      </c>
      <c r="D11" s="18">
        <f>Data_Produk!G11</f>
        <v>462373</v>
      </c>
      <c r="E11" s="11">
        <f>Data_Produk!E11/1000</f>
        <v>0.996</v>
      </c>
      <c r="F11" s="10">
        <f>IFERROR(IF(AND(ISNUMBER($C$4),$C$4&gt;0,ISNUMBER($E$4),$E$4&gt;0,$E$4&lt;=1,ISNUMBER($G$4),$G$4&gt;0,$G$4&lt;=1,ISNUMBER(C11),C11&gt;0,ISNUMBER(D11),D11&gt;0,ISNUMBER(E11),E11&gt;0),$C$4*1000*C11*10^-4*$E$4,""),"")</f>
        <v>6755099.423768683</v>
      </c>
      <c r="G11" s="10">
        <f>IFERROR(IF(AND(ISNUMBER($C$4),$C$4&gt;0,ISNUMBER($E$4),$E$4&gt;0,$E$4&lt;=1,ISNUMBER($G$4),$G$4&gt;0,$G$4&lt;=1,ISNUMBER(C11),C11&gt;0,ISNUMBER(D11),D11&gt;0,ISNUMBER(E11),E11&gt;0),$C$4*1000*D11*10^-8*$G$4,""),"")</f>
        <v>171802.8375063915</v>
      </c>
      <c r="H11" s="10">
        <f>IFERROR(IF(AND(ISNUMBER($C$4),$C$4&gt;0,ISNUMBER($E$4),$E$4&gt;0,$E$4&lt;=1,ISNUMBER($G$4),$G$4&gt;0,$G$4&lt;=1,ISNUMBER(C11),C11&gt;0,ISNUMBER(D11),D11&gt;0,ISNUMBER(E11),E11&gt;0),F11/E11,""),"")</f>
        <v>6782228.337117152</v>
      </c>
      <c r="I11" s="10">
        <f>IFERROR(IF(AND(ISNUMBER($C$4),$C$4&gt;0,ISNUMBER($E$4),$E$4&gt;0,$E$4&lt;=1,ISNUMBER($G$4),$G$4&gt;0,$G$4&lt;=1,ISNUMBER(C11),C11&gt;0,ISNUMBER(D11),D11&gt;0,ISNUMBER(E11),E11&gt;0),G11/E11,""),"")</f>
        <v>172492.80874135692</v>
      </c>
    </row>
    <row r="12" spans="2:9" ht="23" customHeight="1">
      <c r="B12" s="17" t="str">
        <f>Data_Produk!B12</f>
        <v>W-600</v>
      </c>
      <c r="C12" s="18">
        <f>Data_Produk!F12</f>
        <v>2078</v>
      </c>
      <c r="D12" s="18">
        <f>Data_Produk!G12</f>
        <v>765907</v>
      </c>
      <c r="E12" s="11">
        <f>Data_Produk!E12/1000</f>
        <v>0.996</v>
      </c>
      <c r="F12" s="10">
        <f>IFERROR(IF(AND(ISNUMBER($C$4),$C$4&gt;0,ISNUMBER($E$4),$E$4&gt;0,$E$4&lt;=1,ISNUMBER($G$4),$G$4&gt;0,$G$4&lt;=1,ISNUMBER(C12),C12&gt;0,ISNUMBER(D12),D12&gt;0,ISNUMBER(E12),E12&gt;0),$C$4*1000*C12*10^-4*$E$4,""),"")</f>
        <v>7721175.248950123</v>
      </c>
      <c r="G12" s="10">
        <f>IFERROR(IF(AND(ISNUMBER($C$4),$C$4&gt;0,ISNUMBER($E$4),$E$4&gt;0,$E$4&lt;=1,ISNUMBER($G$4),$G$4&gt;0,$G$4&lt;=1,ISNUMBER(C12),C12&gt;0,ISNUMBER(D12),D12&gt;0,ISNUMBER(E12),E12&gt;0),$C$4*1000*D12*10^-8*$G$4,""),"")</f>
        <v>284586.24501432345</v>
      </c>
      <c r="H12" s="10">
        <f>IFERROR(IF(AND(ISNUMBER($C$4),$C$4&gt;0,ISNUMBER($E$4),$E$4&gt;0,$E$4&lt;=1,ISNUMBER($G$4),$G$4&gt;0,$G$4&lt;=1,ISNUMBER(C12),C12&gt;0,ISNUMBER(D12),D12&gt;0,ISNUMBER(E12),E12&gt;0),F12/E12,""),"")</f>
        <v>7752183.984889681</v>
      </c>
      <c r="I12" s="10">
        <f>IFERROR(IF(AND(ISNUMBER($C$4),$C$4&gt;0,ISNUMBER($E$4),$E$4&gt;0,$E$4&lt;=1,ISNUMBER($G$4),$G$4&gt;0,$G$4&lt;=1,ISNUMBER(C12),C12&gt;0,ISNUMBER(D12),D12&gt;0,ISNUMBER(E12),E12&gt;0),G12/E12,""),"")</f>
        <v>285729.16166096734</v>
      </c>
    </row>
    <row r="14" spans="2:9" ht="23" customHeight="1">
      <c r="B14" s="13" t="s">
        <v>82</v>
      </c>
      <c r="C14" s="13"/>
      <c r="D14" s="13"/>
      <c r="E14" s="13"/>
      <c r="F14" s="13"/>
      <c r="G14" s="13"/>
      <c r="H14" s="13"/>
      <c r="I14" s="13"/>
    </row>
    <row r="15" spans="2:9" ht="23" customHeight="1">
      <c r="B15" s="13"/>
      <c r="C15" s="13"/>
      <c r="D15" s="13"/>
      <c r="E15" s="13"/>
      <c r="F15" s="13"/>
      <c r="G15" s="13"/>
      <c r="H15" s="13"/>
      <c r="I15" s="13"/>
    </row>
    <row r="17" spans="2:9" ht="23" customHeight="1">
      <c r="B17" s="14" t="s">
        <v>83</v>
      </c>
      <c r="C17" s="14"/>
      <c r="D17" s="14"/>
      <c r="E17" s="14"/>
      <c r="F17" s="14"/>
      <c r="G17" s="14"/>
      <c r="H17" s="14"/>
      <c r="I17" s="14"/>
    </row>
    <row r="18" spans="2:9" ht="23" customHeight="1">
      <c r="B18" s="14"/>
      <c r="C18" s="14"/>
      <c r="D18" s="14"/>
      <c r="E18" s="14"/>
      <c r="F18" s="14"/>
      <c r="G18" s="14"/>
      <c r="H18" s="14"/>
      <c r="I18" s="14"/>
    </row>
  </sheetData>
  <autoFilter ref="B6:I12"/>
  <mergeCells count="4">
    <mergeCell ref="B1:I2"/>
    <mergeCell ref="B3:I3"/>
    <mergeCell ref="B14:I15"/>
    <mergeCell ref="B17:I18"/>
  </mergeCells>
  <pageMargins left="0.25" right="0.25" top="0.35" bottom="0.35" header="0.3" footer="0.15"/>
  <pageSetup paperSize="9" orientation="landscape"/>
  <headerFooter>
    <oddFooter>&amp;LTemplate EA / EI Sheet Pile Beton&amp;RHalaman &amp;P dari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8FAD"/>
    <pageSetUpPr fitToPage="1"/>
  </sheetPr>
  <dimension ref="B1:H31"/>
  <sheetViews>
    <sheetView showGridLines="0" workbookViewId="0"/>
  </sheetViews>
  <sheetFormatPr defaultRowHeight="23" customHeight="1"/>
  <cols>
    <col min="1" max="1" width="3.7109375" customWidth="1"/>
    <col min="2" max="2" width="27.7109375" customWidth="1"/>
    <col min="3" max="8" width="15.7109375" customWidth="1"/>
  </cols>
  <sheetData>
    <row r="1" spans="2:8" ht="23" customHeight="1">
      <c r="B1" s="1" t="s">
        <v>84</v>
      </c>
      <c r="C1" s="1"/>
      <c r="D1" s="1"/>
      <c r="E1" s="1"/>
      <c r="F1" s="1"/>
      <c r="G1" s="1"/>
      <c r="H1" s="1"/>
    </row>
    <row r="2" spans="2:8" ht="23" customHeight="1">
      <c r="B2" s="1"/>
      <c r="C2" s="1"/>
      <c r="D2" s="1"/>
      <c r="E2" s="1"/>
      <c r="F2" s="1"/>
      <c r="G2" s="1"/>
      <c r="H2" s="1"/>
    </row>
    <row r="4" spans="2:8" ht="23" customHeight="1">
      <c r="B4" s="3" t="s">
        <v>85</v>
      </c>
      <c r="C4" s="3"/>
      <c r="D4" s="3"/>
      <c r="E4" s="3"/>
      <c r="F4" s="3"/>
      <c r="G4" s="3"/>
      <c r="H4" s="3"/>
    </row>
    <row r="5" spans="2:8" ht="23" customHeight="1">
      <c r="B5" s="13" t="s">
        <v>88</v>
      </c>
      <c r="C5" s="13"/>
      <c r="D5" s="13"/>
      <c r="E5" s="13"/>
      <c r="F5" s="13"/>
      <c r="G5" s="13"/>
      <c r="H5" s="13"/>
    </row>
    <row r="6" spans="2:8" ht="23" customHeight="1">
      <c r="B6" s="13"/>
      <c r="C6" s="13"/>
      <c r="D6" s="13"/>
      <c r="E6" s="13"/>
      <c r="F6" s="13"/>
      <c r="G6" s="13"/>
      <c r="H6" s="13"/>
    </row>
    <row r="7" spans="2:8" ht="23" customHeight="1">
      <c r="B7" s="13" t="s">
        <v>89</v>
      </c>
      <c r="C7" s="13"/>
      <c r="D7" s="13"/>
      <c r="E7" s="13"/>
      <c r="F7" s="13"/>
      <c r="G7" s="13"/>
      <c r="H7" s="13"/>
    </row>
    <row r="8" spans="2:8" ht="23" customHeight="1">
      <c r="B8" s="13"/>
      <c r="C8" s="13"/>
      <c r="D8" s="13"/>
      <c r="E8" s="13"/>
      <c r="F8" s="13"/>
      <c r="G8" s="13"/>
      <c r="H8" s="13"/>
    </row>
    <row r="9" spans="2:8" ht="23" customHeight="1">
      <c r="B9" s="13" t="s">
        <v>90</v>
      </c>
      <c r="C9" s="13"/>
      <c r="D9" s="13"/>
      <c r="E9" s="13"/>
      <c r="F9" s="13"/>
      <c r="G9" s="13"/>
      <c r="H9" s="13"/>
    </row>
    <row r="10" spans="2:8" ht="23" customHeight="1">
      <c r="B10" s="13"/>
      <c r="C10" s="13"/>
      <c r="D10" s="13"/>
      <c r="E10" s="13"/>
      <c r="F10" s="13"/>
      <c r="G10" s="13"/>
      <c r="H10" s="13"/>
    </row>
    <row r="11" spans="2:8" ht="23" customHeight="1">
      <c r="B11" s="3" t="s">
        <v>86</v>
      </c>
      <c r="C11" s="3"/>
      <c r="D11" s="3"/>
      <c r="E11" s="3"/>
      <c r="F11" s="3"/>
      <c r="G11" s="3"/>
      <c r="H11" s="3"/>
    </row>
    <row r="12" spans="2:8" ht="23" customHeight="1">
      <c r="B12" s="13" t="s">
        <v>91</v>
      </c>
      <c r="C12" s="13"/>
      <c r="D12" s="13"/>
      <c r="E12" s="13"/>
      <c r="F12" s="13"/>
      <c r="G12" s="13"/>
      <c r="H12" s="13"/>
    </row>
    <row r="13" spans="2:8" ht="23" customHeight="1">
      <c r="B13" s="13"/>
      <c r="C13" s="13"/>
      <c r="D13" s="13"/>
      <c r="E13" s="13"/>
      <c r="F13" s="13"/>
      <c r="G13" s="13"/>
      <c r="H13" s="13"/>
    </row>
    <row r="14" spans="2:8" ht="23" customHeight="1">
      <c r="B14" s="13" t="s">
        <v>92</v>
      </c>
      <c r="C14" s="13"/>
      <c r="D14" s="13"/>
      <c r="E14" s="13"/>
      <c r="F14" s="13"/>
      <c r="G14" s="13"/>
      <c r="H14" s="13"/>
    </row>
    <row r="15" spans="2:8" ht="23" customHeight="1">
      <c r="B15" s="13"/>
      <c r="C15" s="13"/>
      <c r="D15" s="13"/>
      <c r="E15" s="13"/>
      <c r="F15" s="13"/>
      <c r="G15" s="13"/>
      <c r="H15" s="13"/>
    </row>
    <row r="16" spans="2:8" ht="23" customHeight="1">
      <c r="B16" s="13" t="s">
        <v>93</v>
      </c>
      <c r="C16" s="13"/>
      <c r="D16" s="13"/>
      <c r="E16" s="13"/>
      <c r="F16" s="13"/>
      <c r="G16" s="13"/>
      <c r="H16" s="13"/>
    </row>
    <row r="17" spans="2:8" ht="23" customHeight="1">
      <c r="B17" s="13"/>
      <c r="C17" s="13"/>
      <c r="D17" s="13"/>
      <c r="E17" s="13"/>
      <c r="F17" s="13"/>
      <c r="G17" s="13"/>
      <c r="H17" s="13"/>
    </row>
    <row r="18" spans="2:8" ht="23" customHeight="1">
      <c r="B18" s="13" t="s">
        <v>94</v>
      </c>
      <c r="C18" s="13"/>
      <c r="D18" s="13"/>
      <c r="E18" s="13"/>
      <c r="F18" s="13"/>
      <c r="G18" s="13"/>
      <c r="H18" s="13"/>
    </row>
    <row r="19" spans="2:8" ht="23" customHeight="1">
      <c r="B19" s="13"/>
      <c r="C19" s="13"/>
      <c r="D19" s="13"/>
      <c r="E19" s="13"/>
      <c r="F19" s="13"/>
      <c r="G19" s="13"/>
      <c r="H19" s="13"/>
    </row>
    <row r="21" spans="2:8" ht="23" customHeight="1">
      <c r="B21" s="3" t="s">
        <v>87</v>
      </c>
      <c r="C21" s="3"/>
      <c r="D21" s="3"/>
      <c r="E21" s="3"/>
      <c r="F21" s="3"/>
      <c r="G21" s="3"/>
      <c r="H21" s="3"/>
    </row>
    <row r="22" spans="2:8" ht="23" customHeight="1">
      <c r="B22" s="14" t="s">
        <v>95</v>
      </c>
      <c r="C22" s="14"/>
      <c r="D22" s="14"/>
      <c r="E22" s="14"/>
      <c r="F22" s="14"/>
      <c r="G22" s="14"/>
      <c r="H22" s="14"/>
    </row>
    <row r="23" spans="2:8" ht="23" customHeight="1">
      <c r="B23" s="14"/>
      <c r="C23" s="14"/>
      <c r="D23" s="14"/>
      <c r="E23" s="14"/>
      <c r="F23" s="14"/>
      <c r="G23" s="14"/>
      <c r="H23" s="14"/>
    </row>
    <row r="24" spans="2:8" ht="23" customHeight="1">
      <c r="B24" s="14" t="s">
        <v>96</v>
      </c>
      <c r="C24" s="14"/>
      <c r="D24" s="14"/>
      <c r="E24" s="14"/>
      <c r="F24" s="14"/>
      <c r="G24" s="14"/>
      <c r="H24" s="14"/>
    </row>
    <row r="25" spans="2:8" ht="23" customHeight="1">
      <c r="B25" s="14"/>
      <c r="C25" s="14"/>
      <c r="D25" s="14"/>
      <c r="E25" s="14"/>
      <c r="F25" s="14"/>
      <c r="G25" s="14"/>
      <c r="H25" s="14"/>
    </row>
    <row r="26" spans="2:8" ht="23" customHeight="1">
      <c r="B26" s="14" t="s">
        <v>97</v>
      </c>
      <c r="C26" s="14"/>
      <c r="D26" s="14"/>
      <c r="E26" s="14"/>
      <c r="F26" s="14"/>
      <c r="G26" s="14"/>
      <c r="H26" s="14"/>
    </row>
    <row r="27" spans="2:8" ht="23" customHeight="1">
      <c r="B27" s="14"/>
      <c r="C27" s="14"/>
      <c r="D27" s="14"/>
      <c r="E27" s="14"/>
      <c r="F27" s="14"/>
      <c r="G27" s="14"/>
      <c r="H27" s="14"/>
    </row>
    <row r="28" spans="2:8" ht="23" customHeight="1">
      <c r="B28" s="14" t="s">
        <v>98</v>
      </c>
      <c r="C28" s="14"/>
      <c r="D28" s="14"/>
      <c r="E28" s="14"/>
      <c r="F28" s="14"/>
      <c r="G28" s="14"/>
      <c r="H28" s="14"/>
    </row>
    <row r="29" spans="2:8" ht="23" customHeight="1">
      <c r="B29" s="14"/>
      <c r="C29" s="14"/>
      <c r="D29" s="14"/>
      <c r="E29" s="14"/>
      <c r="F29" s="14"/>
      <c r="G29" s="14"/>
      <c r="H29" s="14"/>
    </row>
    <row r="31" spans="2:8" ht="23" customHeight="1">
      <c r="B31" s="15" t="s">
        <v>99</v>
      </c>
    </row>
  </sheetData>
  <mergeCells count="15">
    <mergeCell ref="B1:H2"/>
    <mergeCell ref="B4:H4"/>
    <mergeCell ref="B11:H11"/>
    <mergeCell ref="B21:H21"/>
    <mergeCell ref="B5:H6"/>
    <mergeCell ref="B7:H8"/>
    <mergeCell ref="B9:H10"/>
    <mergeCell ref="B12:H13"/>
    <mergeCell ref="B14:H15"/>
    <mergeCell ref="B16:H17"/>
    <mergeCell ref="B18:H19"/>
    <mergeCell ref="B22:H23"/>
    <mergeCell ref="B24:H25"/>
    <mergeCell ref="B26:H27"/>
    <mergeCell ref="B28:H29"/>
  </mergeCells>
  <hyperlinks>
    <hyperlink ref="B31" location="'Kalkulasi'!B1" display="← Kembali ke Kalkulasi"/>
  </hyperlinks>
  <pageMargins left="0.25" right="0.25" top="0.35" bottom="0.35" header="0.3" footer="0.15"/>
  <pageSetup paperSize="9" orientation="landscape"/>
  <headerFooter>
    <oddFooter>&amp;LTemplate EA / EI Sheet Pile Beton&amp;RHalaman &amp;P dari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Kalkulasi</vt:lpstr>
      <vt:lpstr>Data_Produk</vt:lpstr>
      <vt:lpstr>Rekap</vt:lpstr>
      <vt:lpstr>Petunjuk</vt:lpstr>
      <vt:lpstr>Data_Produk!Print_Area</vt:lpstr>
      <vt:lpstr>Kalkulasi!Print_Area</vt:lpstr>
      <vt:lpstr>Petunjuk!Print_Area</vt:lpstr>
      <vt:lpstr>Rekap!Print_Area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Perhitungan EA dan EI Sheet Pile Beton</dc:title>
  <dc:subject>Kekakuan aksial dan lentur per batang dan per meter dinding</dc:subject>
  <dc:creator>Template Teknik</dc:creator>
  <dc:description>Data penampang ditranskripsi dari gambar pengguna. Asumsi dan satuan dijelaskan dalam workbook.</dc:description>
  <cp:lastModifiedBy>Template Teknik</cp:lastModifiedBy>
  <dcterms:created xsi:type="dcterms:W3CDTF">2026-10-27T03:42:01Z</dcterms:created>
  <dcterms:modified xsi:type="dcterms:W3CDTF">2026-10-27T03:42:01Z</dcterms:modified>
</cp:coreProperties>
</file>